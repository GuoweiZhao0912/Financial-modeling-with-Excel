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938CB370-D259-4CB9-A4F5-CBB47DA56410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Two-Date Binomial Pricing" sheetId="1" r:id="rId1"/>
    <sheet name="Risk-Neutral Prices" sheetId="2" r:id="rId2"/>
    <sheet name="The Multi-Period Binomial Model" sheetId="3" r:id="rId3"/>
    <sheet name="Binominal Model VS BS Model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8" l="1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19" i="8"/>
  <c r="C9" i="8"/>
  <c r="C12" i="8" s="1"/>
  <c r="H17" i="3"/>
  <c r="H13" i="3"/>
  <c r="H14" i="3"/>
  <c r="H15" i="3"/>
  <c r="H16" i="3"/>
  <c r="H12" i="3"/>
  <c r="F13" i="3"/>
  <c r="F14" i="3"/>
  <c r="F15" i="3"/>
  <c r="F16" i="3"/>
  <c r="F12" i="3"/>
  <c r="C9" i="3"/>
  <c r="C8" i="3"/>
  <c r="G16" i="3"/>
  <c r="G15" i="3"/>
  <c r="G14" i="3"/>
  <c r="G13" i="3"/>
  <c r="G12" i="3"/>
  <c r="E16" i="3"/>
  <c r="E15" i="3"/>
  <c r="E14" i="3"/>
  <c r="E13" i="3"/>
  <c r="E12" i="3"/>
  <c r="D13" i="3"/>
  <c r="D14" i="3"/>
  <c r="D15" i="3"/>
  <c r="D16" i="3"/>
  <c r="D12" i="3"/>
  <c r="C11" i="2"/>
  <c r="G10" i="2"/>
  <c r="G8" i="2"/>
  <c r="G5" i="2"/>
  <c r="G3" i="2"/>
  <c r="C9" i="2"/>
  <c r="C8" i="2"/>
  <c r="I15" i="1"/>
  <c r="I14" i="1"/>
  <c r="I13" i="1"/>
  <c r="F15" i="1"/>
  <c r="F13" i="1"/>
  <c r="F10" i="1"/>
  <c r="F8" i="1"/>
  <c r="F5" i="1"/>
  <c r="F3" i="1"/>
  <c r="C15" i="8"/>
  <c r="C11" i="8" l="1"/>
  <c r="C10" i="8"/>
  <c r="C14" i="8"/>
  <c r="C18" i="8" l="1"/>
</calcChain>
</file>

<file path=xl/sharedStrings.xml><?xml version="1.0" encoding="utf-8"?>
<sst xmlns="http://schemas.openxmlformats.org/spreadsheetml/2006/main" count="56" uniqueCount="29">
  <si>
    <t>U</t>
  </si>
  <si>
    <t>D</t>
  </si>
  <si>
    <t>R</t>
  </si>
  <si>
    <t>S</t>
  </si>
  <si>
    <t>K</t>
  </si>
  <si>
    <t>Stock</t>
  </si>
  <si>
    <t>Bond</t>
  </si>
  <si>
    <t>Call Option</t>
  </si>
  <si>
    <t>?</t>
  </si>
  <si>
    <t>Call option</t>
  </si>
  <si>
    <t>B</t>
  </si>
  <si>
    <t>Payoff</t>
  </si>
  <si>
    <t>Call option price</t>
  </si>
  <si>
    <t>qu</t>
  </si>
  <si>
    <t>qd</t>
  </si>
  <si>
    <t>N</t>
  </si>
  <si>
    <t>Stock price in Period 4</t>
  </si>
  <si>
    <t xml:space="preserve">Path number </t>
  </si>
  <si>
    <t>Risk neutral Prob</t>
  </si>
  <si>
    <t>Call option's price</t>
  </si>
  <si>
    <t>X</t>
  </si>
  <si>
    <t>T</t>
  </si>
  <si>
    <t>r</t>
  </si>
  <si>
    <t>Sigma</t>
  </si>
  <si>
    <t>n</t>
  </si>
  <si>
    <t>delta T</t>
  </si>
  <si>
    <t>Binominal Model</t>
  </si>
  <si>
    <t>BS Model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</si>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</sst>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5" formatCode="#,##0.0000"/>
    <numFmt numFmtId="167" formatCode="0.0000"/>
    <numFmt numFmtId="169" formatCode="_(* #,##0.000_);_(* \(#,##0.000\);_(* &quot;-&quot;??_);_(@_)"/>
    <numFmt numFmtId="170" formatCode="_(* #,##0.0000_);_(* \(#,##0.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4" fontId="0" fillId="0" borderId="0" xfId="0" applyNumberFormat="1"/>
    <xf numFmtId="4" fontId="0" fillId="0" borderId="0" xfId="1" applyNumberFormat="1" applyFont="1"/>
    <xf numFmtId="4" fontId="2" fillId="0" borderId="0" xfId="0" applyNumberFormat="1" applyFont="1"/>
    <xf numFmtId="4" fontId="0" fillId="0" borderId="0" xfId="0" quotePrefix="1" applyNumberFormat="1"/>
    <xf numFmtId="9" fontId="0" fillId="0" borderId="0" xfId="0" applyNumberFormat="1"/>
    <xf numFmtId="4" fontId="0" fillId="2" borderId="0" xfId="0" applyNumberFormat="1" applyFill="1"/>
    <xf numFmtId="4" fontId="0" fillId="3" borderId="0" xfId="0" applyNumberFormat="1" applyFill="1"/>
    <xf numFmtId="0" fontId="2" fillId="0" borderId="0" xfId="0" applyFont="1"/>
    <xf numFmtId="165" fontId="0" fillId="0" borderId="0" xfId="0" applyNumberFormat="1"/>
    <xf numFmtId="167" fontId="0" fillId="0" borderId="0" xfId="0" applyNumberFormat="1"/>
    <xf numFmtId="3" fontId="0" fillId="0" borderId="0" xfId="0" applyNumberFormat="1"/>
    <xf numFmtId="3" fontId="0" fillId="0" borderId="0" xfId="1" applyNumberFormat="1" applyFont="1"/>
    <xf numFmtId="43" fontId="0" fillId="0" borderId="0" xfId="1" applyFont="1"/>
    <xf numFmtId="169" fontId="0" fillId="0" borderId="0" xfId="1" applyNumberFormat="1" applyFont="1"/>
    <xf numFmtId="170" fontId="0" fillId="0" borderId="0" xfId="1" applyNumberFormat="1" applyFont="1"/>
    <xf numFmtId="43" fontId="0" fillId="0" borderId="0" xfId="1" applyFont="1" applyFill="1"/>
    <xf numFmtId="4" fontId="0" fillId="0" borderId="0" xfId="1" applyNumberFormat="1" applyFont="1" applyFill="1"/>
    <xf numFmtId="4" fontId="0" fillId="0" borderId="0" xfId="0" applyNumberFormat="1" applyFill="1"/>
    <xf numFmtId="0" fontId="0" fillId="2" borderId="0" xfId="0" applyFill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'Binominal Model VS BS Model'!$C$17</c:f>
              <c:strCache>
                <c:ptCount val="1"/>
                <c:pt idx="0">
                  <c:v>Binominal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'Binominal Model VS BS Model'!$B$19:$B$40</c:f>
              <c:numCache>
                <c:formatCode>General</c:formatCode>
                <c:ptCount val="22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  <c:pt idx="14">
                  <c:v>430</c:v>
                </c:pt>
                <c:pt idx="15">
                  <c:v>460</c:v>
                </c:pt>
                <c:pt idx="16">
                  <c:v>490</c:v>
                </c:pt>
                <c:pt idx="17">
                  <c:v>520</c:v>
                </c:pt>
                <c:pt idx="18">
                  <c:v>550</c:v>
                </c:pt>
                <c:pt idx="19">
                  <c:v>580</c:v>
                </c:pt>
                <c:pt idx="20">
                  <c:v>610</c:v>
                </c:pt>
                <c:pt idx="21">
                  <c:v>640</c:v>
                </c:pt>
              </c:numCache>
            </c:numRef>
          </c:xVal>
          <c:yVal>
            <c:numRef>
              <c:f>'Binominal Model VS BS Model'!$C$19:$C$40</c:f>
              <c:numCache>
                <c:formatCode>0.0000</c:formatCode>
                <c:ptCount val="22"/>
                <c:pt idx="0">
                  <c:v>12.859284846088762</c:v>
                </c:pt>
                <c:pt idx="1">
                  <c:v>12.831130958755034</c:v>
                </c:pt>
                <c:pt idx="2">
                  <c:v>12.829888030449013</c:v>
                </c:pt>
                <c:pt idx="3">
                  <c:v>12.825523150435874</c:v>
                </c:pt>
                <c:pt idx="4">
                  <c:v>12.820495241178708</c:v>
                </c:pt>
                <c:pt idx="5">
                  <c:v>12.82576688077811</c:v>
                </c:pt>
                <c:pt idx="6">
                  <c:v>12.82058495281078</c:v>
                </c:pt>
                <c:pt idx="7">
                  <c:v>12.824600149112808</c:v>
                </c:pt>
                <c:pt idx="8">
                  <c:v>12.823025111798497</c:v>
                </c:pt>
                <c:pt idx="9">
                  <c:v>12.822664119846907</c:v>
                </c:pt>
                <c:pt idx="10">
                  <c:v>12.824281600266888</c:v>
                </c:pt>
                <c:pt idx="11">
                  <c:v>12.821457264485224</c:v>
                </c:pt>
                <c:pt idx="12">
                  <c:v>12.823234906193749</c:v>
                </c:pt>
                <c:pt idx="13">
                  <c:v>12.823847919583542</c:v>
                </c:pt>
                <c:pt idx="14">
                  <c:v>12.82182591400208</c:v>
                </c:pt>
                <c:pt idx="15">
                  <c:v>12.822823908830134</c:v>
                </c:pt>
                <c:pt idx="16">
                  <c:v>12.823698100990581</c:v>
                </c:pt>
                <c:pt idx="17">
                  <c:v>12.822763971451069</c:v>
                </c:pt>
                <c:pt idx="18">
                  <c:v>12.821873118446723</c:v>
                </c:pt>
                <c:pt idx="19">
                  <c:v>12.823305848494194</c:v>
                </c:pt>
                <c:pt idx="20">
                  <c:v>12.823384671180721</c:v>
                </c:pt>
                <c:pt idx="21">
                  <c:v>12.822334139921104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4D-4E6F-BA20-B7037F6EEF2B}"/>
            </c:ext>
          </c:extLst>
        </c:ser>
        <c:ser>
          <c:idx val="1"/>
          <c:order val="1"/>
          <c:tx>
            <c:strRef>
              <c:f>'Binominal Model VS BS Model'!$D$17</c:f>
              <c:strCache>
                <c:ptCount val="1"/>
                <c:pt idx="0">
                  <c:v>BS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'Binominal Model VS BS Model'!$B$19:$B$40</c:f>
              <c:numCache>
                <c:formatCode>General</c:formatCode>
                <c:ptCount val="22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  <c:pt idx="14">
                  <c:v>430</c:v>
                </c:pt>
                <c:pt idx="15">
                  <c:v>460</c:v>
                </c:pt>
                <c:pt idx="16">
                  <c:v>490</c:v>
                </c:pt>
                <c:pt idx="17">
                  <c:v>520</c:v>
                </c:pt>
                <c:pt idx="18">
                  <c:v>550</c:v>
                </c:pt>
                <c:pt idx="19">
                  <c:v>580</c:v>
                </c:pt>
                <c:pt idx="20">
                  <c:v>610</c:v>
                </c:pt>
                <c:pt idx="21">
                  <c:v>640</c:v>
                </c:pt>
              </c:numCache>
            </c:numRef>
          </c:xVal>
          <c:yVal>
            <c:numRef>
              <c:f>'Binominal Model VS BS Model'!$D$19:$D$40</c:f>
              <c:numCache>
                <c:formatCode>0.0000</c:formatCode>
                <c:ptCount val="22"/>
                <c:pt idx="0">
                  <c:v>12.822602600052306</c:v>
                </c:pt>
                <c:pt idx="1">
                  <c:v>12.822602600052306</c:v>
                </c:pt>
                <c:pt idx="2">
                  <c:v>12.822602600052306</c:v>
                </c:pt>
                <c:pt idx="3">
                  <c:v>12.822602600052306</c:v>
                </c:pt>
                <c:pt idx="4">
                  <c:v>12.822602600052306</c:v>
                </c:pt>
                <c:pt idx="5">
                  <c:v>12.822602600052306</c:v>
                </c:pt>
                <c:pt idx="6">
                  <c:v>12.822602600052306</c:v>
                </c:pt>
                <c:pt idx="7">
                  <c:v>12.822602600052306</c:v>
                </c:pt>
                <c:pt idx="8">
                  <c:v>12.822602600052306</c:v>
                </c:pt>
                <c:pt idx="9">
                  <c:v>12.822602600052306</c:v>
                </c:pt>
                <c:pt idx="10">
                  <c:v>12.822602600052306</c:v>
                </c:pt>
                <c:pt idx="11">
                  <c:v>12.822602600052306</c:v>
                </c:pt>
                <c:pt idx="12">
                  <c:v>12.822602600052306</c:v>
                </c:pt>
                <c:pt idx="13">
                  <c:v>12.822602600052306</c:v>
                </c:pt>
                <c:pt idx="14">
                  <c:v>12.822602600052306</c:v>
                </c:pt>
                <c:pt idx="15">
                  <c:v>12.822602600052306</c:v>
                </c:pt>
                <c:pt idx="16">
                  <c:v>12.822602600052306</c:v>
                </c:pt>
                <c:pt idx="17">
                  <c:v>12.822602600052306</c:v>
                </c:pt>
                <c:pt idx="18">
                  <c:v>12.822602600052306</c:v>
                </c:pt>
                <c:pt idx="19">
                  <c:v>12.822602600052306</c:v>
                </c:pt>
                <c:pt idx="20">
                  <c:v>12.822602600052306</c:v>
                </c:pt>
                <c:pt idx="21">
                  <c:v>12.822602600052306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4D-4E6F-BA20-B7037F6EE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768687"/>
        <c:axId val="1298167983"/>
      </c:scatterChart>
      <c:valAx>
        <c:axId val="102876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167983"/>
        <c:crosses val="autoZero"/>
        <c:crossBetween val="midCat"/>
      </c:valAx>
      <c:valAx>
        <c:axId val="129816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768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143565</xdr:colOff>
      <xdr:row>2</xdr:row>
      <xdr:rowOff>61569</xdr:rowOff>
    </xdr:from>
    <xdr:to>
      <xdr:col>15</xdr:col>
      <xdr:colOff>246173</xdr:colOff>
      <xdr:row>7</xdr:row>
      <xdr:rowOff>116688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F49FF83-2677-42E9-A00D-5E87D4367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22913" y="426004"/>
          <a:ext cx="4961738" cy="9662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400050</xdr:colOff>
      <xdr:row>1</xdr:row>
      <xdr:rowOff>127000</xdr:rowOff>
    </xdr:from>
    <xdr:to>
      <xdr:col>16</xdr:col>
      <xdr:colOff>567637</xdr:colOff>
      <xdr:row>5</xdr:row>
      <xdr:rowOff>63350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C27EB93-8766-403B-B6FE-D73B5131F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50" y="311150"/>
          <a:ext cx="2605987" cy="672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5521</xdr:colOff>
      <xdr:row>0</xdr:row>
      <xdr:rowOff>110434</xdr:rowOff>
    </xdr:from>
    <xdr:to>
      <xdr:col>10</xdr:col>
      <xdr:colOff>32856</xdr:colOff>
      <xdr:row>4</xdr:row>
      <xdr:rowOff>54514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D6CC21-8290-4FA1-9085-827FEEE10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7869" y="110434"/>
          <a:ext cx="2605987" cy="672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152400</xdr:colOff>
      <xdr:row>5</xdr:row>
      <xdr:rowOff>120650</xdr:rowOff>
    </xdr:from>
    <xdr:to>
      <xdr:col>18</xdr:col>
      <xdr:colOff>66152</xdr:colOff>
      <xdr:row>7</xdr:row>
      <xdr:rowOff>66636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864506-AEFC-4290-BA1B-9D9079C7F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2800" y="1041400"/>
          <a:ext cx="4180952" cy="314286"/>
        </a:xfrm>
        <a:prstGeom prst="rect">
          <a:avLst/>
        </a:prstGeom>
      </xdr:spPr>
    </xdr:pic>
    <xdr:clientData/>
  </xdr:twoCellAnchor>
  <xdr:twoCellAnchor>
    <xdr:from>
      <xdr:col>6</xdr:col>
      <xdr:colOff>530224</xdr:colOff>
      <xdr:row>11</xdr:row>
      <xdr:rowOff>133350</xdr:rowOff>
    </xdr:from>
    <xdr:to>
      <xdr:col>16</xdr:col>
      <xdr:colOff>609599</xdr:colOff>
      <xdr:row>31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8AEFAC-9862-4D9E-9E80-EC6400607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8"/>
  <sheetViews>
    <sheetView tabSelected="1" zoomScale="115" zoomScaleNormal="115" workbookViewId="0">
      <selection activeCell="I15" sqref="I15"/>
    </sheetView>
  </sheetViews>
  <sheetFormatPr defaultRowHeight="14.5" x14ac:dyDescent="0.35"/>
  <cols>
    <col min="1" max="1" width="9.08984375" style="1" customWidth="1"/>
    <col min="2" max="16384" width="8.7265625" style="1"/>
  </cols>
  <sheetData>
    <row r="2" spans="2:10" x14ac:dyDescent="0.35">
      <c r="B2" s="2" t="s">
        <v>0</v>
      </c>
      <c r="C2" s="1">
        <v>1.1000000000000001</v>
      </c>
      <c r="E2" s="3" t="s">
        <v>5</v>
      </c>
      <c r="F2" s="1" t="s">
        <v>11</v>
      </c>
      <c r="G2" s="3"/>
    </row>
    <row r="3" spans="2:10" x14ac:dyDescent="0.35">
      <c r="B3" s="2" t="s">
        <v>1</v>
      </c>
      <c r="C3" s="1">
        <v>0.97</v>
      </c>
      <c r="F3" s="6">
        <f>E4*C2</f>
        <v>55.000000000000007</v>
      </c>
    </row>
    <row r="4" spans="2:10" x14ac:dyDescent="0.35">
      <c r="B4" s="2" t="s">
        <v>3</v>
      </c>
      <c r="C4" s="1">
        <v>50</v>
      </c>
      <c r="E4" s="1">
        <v>50</v>
      </c>
    </row>
    <row r="5" spans="2:10" x14ac:dyDescent="0.35">
      <c r="B5" s="2" t="s">
        <v>2</v>
      </c>
      <c r="C5" s="1">
        <v>1.06</v>
      </c>
      <c r="F5" s="7">
        <f>E4*C3</f>
        <v>48.5</v>
      </c>
    </row>
    <row r="6" spans="2:10" x14ac:dyDescent="0.35">
      <c r="B6" s="2" t="s">
        <v>4</v>
      </c>
      <c r="C6" s="1">
        <v>50</v>
      </c>
      <c r="H6" s="4"/>
    </row>
    <row r="7" spans="2:10" x14ac:dyDescent="0.35">
      <c r="B7" s="2"/>
      <c r="E7" s="3" t="s">
        <v>6</v>
      </c>
      <c r="F7" s="1" t="s">
        <v>11</v>
      </c>
      <c r="H7" s="4"/>
      <c r="J7" s="4"/>
    </row>
    <row r="8" spans="2:10" x14ac:dyDescent="0.35">
      <c r="F8" s="6">
        <f>E9*C5</f>
        <v>1.06</v>
      </c>
      <c r="G8" s="3"/>
      <c r="H8" s="4"/>
      <c r="J8" s="4"/>
    </row>
    <row r="9" spans="2:10" x14ac:dyDescent="0.35">
      <c r="E9" s="1">
        <v>1</v>
      </c>
    </row>
    <row r="10" spans="2:10" x14ac:dyDescent="0.35">
      <c r="B10" s="3"/>
      <c r="E10" s="3"/>
      <c r="F10" s="7">
        <f>E9*C5</f>
        <v>1.06</v>
      </c>
    </row>
    <row r="11" spans="2:10" x14ac:dyDescent="0.35">
      <c r="J11" s="4"/>
    </row>
    <row r="12" spans="2:10" x14ac:dyDescent="0.35">
      <c r="E12" s="3" t="s">
        <v>7</v>
      </c>
      <c r="F12" s="1" t="s">
        <v>11</v>
      </c>
    </row>
    <row r="13" spans="2:10" x14ac:dyDescent="0.35">
      <c r="F13" s="6">
        <f>MAX(F3-C6,0)</f>
        <v>5.0000000000000071</v>
      </c>
      <c r="G13" s="3"/>
      <c r="H13" s="1" t="s">
        <v>3</v>
      </c>
      <c r="I13" s="1">
        <f>(F13-F15)/(C2-C3)</f>
        <v>38.461538461538481</v>
      </c>
    </row>
    <row r="14" spans="2:10" x14ac:dyDescent="0.35">
      <c r="E14" s="1" t="s">
        <v>8</v>
      </c>
      <c r="H14" s="1" t="s">
        <v>10</v>
      </c>
      <c r="I14" s="1">
        <f>(C3*F13-C2*F15)/(C3*C5-C2*C5)</f>
        <v>-35.195936139332375</v>
      </c>
    </row>
    <row r="15" spans="2:10" x14ac:dyDescent="0.35">
      <c r="F15" s="7">
        <f>MAX(F5-C6,0)</f>
        <v>0</v>
      </c>
      <c r="H15" s="1" t="s">
        <v>12</v>
      </c>
      <c r="I15" s="9">
        <f>SUM(I13:I14)</f>
        <v>3.2656023222061066</v>
      </c>
    </row>
    <row r="16" spans="2:10" x14ac:dyDescent="0.35">
      <c r="B16" s="3"/>
    </row>
    <row r="17" spans="6:6" x14ac:dyDescent="0.35">
      <c r="F17" s="4"/>
    </row>
    <row r="18" spans="6:6" x14ac:dyDescent="0.35">
      <c r="F18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E97FB-CD3B-4860-B7F3-CB0A14E6C20B}">
  <sheetPr codeName="Sheet2"/>
  <dimension ref="B2:G11"/>
  <sheetViews>
    <sheetView workbookViewId="0">
      <selection activeCell="B2" sqref="B2:C6"/>
    </sheetView>
  </sheetViews>
  <sheetFormatPr defaultRowHeight="14.5" x14ac:dyDescent="0.35"/>
  <sheetData>
    <row r="2" spans="2:7" x14ac:dyDescent="0.35">
      <c r="B2" s="2" t="s">
        <v>0</v>
      </c>
      <c r="C2" s="1">
        <v>1.1000000000000001</v>
      </c>
      <c r="F2" s="8" t="s">
        <v>5</v>
      </c>
    </row>
    <row r="3" spans="2:7" x14ac:dyDescent="0.35">
      <c r="B3" s="2" t="s">
        <v>1</v>
      </c>
      <c r="C3" s="1">
        <v>0.97</v>
      </c>
      <c r="G3">
        <f>F4*C2</f>
        <v>55.000000000000007</v>
      </c>
    </row>
    <row r="4" spans="2:7" x14ac:dyDescent="0.35">
      <c r="B4" s="2" t="s">
        <v>3</v>
      </c>
      <c r="C4" s="1">
        <v>50</v>
      </c>
      <c r="F4">
        <v>50</v>
      </c>
    </row>
    <row r="5" spans="2:7" x14ac:dyDescent="0.35">
      <c r="B5" s="2" t="s">
        <v>2</v>
      </c>
      <c r="C5" s="1">
        <v>1.06</v>
      </c>
      <c r="G5">
        <f>F4*C3</f>
        <v>48.5</v>
      </c>
    </row>
    <row r="6" spans="2:7" x14ac:dyDescent="0.35">
      <c r="B6" s="2" t="s">
        <v>4</v>
      </c>
      <c r="C6" s="1">
        <v>50</v>
      </c>
    </row>
    <row r="7" spans="2:7" x14ac:dyDescent="0.35">
      <c r="F7" s="8" t="s">
        <v>9</v>
      </c>
    </row>
    <row r="8" spans="2:7" x14ac:dyDescent="0.35">
      <c r="B8" s="2" t="s">
        <v>13</v>
      </c>
      <c r="C8">
        <f>(C5-C3)/(C2-C3)</f>
        <v>0.69230769230769229</v>
      </c>
      <c r="G8" s="1">
        <f>MAX(G3-C6,0)</f>
        <v>5.0000000000000071</v>
      </c>
    </row>
    <row r="9" spans="2:7" x14ac:dyDescent="0.35">
      <c r="B9" s="2" t="s">
        <v>14</v>
      </c>
      <c r="C9">
        <f>(C2-C5)/(C2-C3)</f>
        <v>0.30769230769230771</v>
      </c>
      <c r="F9" t="s">
        <v>8</v>
      </c>
    </row>
    <row r="10" spans="2:7" x14ac:dyDescent="0.35">
      <c r="G10" s="1">
        <f>MAX(G5-C6,0)</f>
        <v>0</v>
      </c>
    </row>
    <row r="11" spans="2:7" x14ac:dyDescent="0.35">
      <c r="B11" s="2" t="s">
        <v>9</v>
      </c>
      <c r="C11" s="10">
        <f>(C8*G8+C9*G10)/C5</f>
        <v>3.2656023222061004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653F-ED73-4847-BCB2-BDE9B0CBC8E6}">
  <sheetPr codeName="Sheet3"/>
  <dimension ref="B2:H17"/>
  <sheetViews>
    <sheetView zoomScale="115" zoomScaleNormal="115" workbookViewId="0">
      <selection activeCell="E8" sqref="E8"/>
    </sheetView>
  </sheetViews>
  <sheetFormatPr defaultRowHeight="14.5" x14ac:dyDescent="0.35"/>
  <cols>
    <col min="2" max="2" width="8.36328125" customWidth="1"/>
    <col min="4" max="4" width="19.26953125" bestFit="1" customWidth="1"/>
    <col min="5" max="5" width="17.54296875" bestFit="1" customWidth="1"/>
    <col min="6" max="6" width="15" bestFit="1" customWidth="1"/>
    <col min="7" max="7" width="10.81640625" customWidth="1"/>
  </cols>
  <sheetData>
    <row r="2" spans="2:8" x14ac:dyDescent="0.35">
      <c r="B2" s="2" t="s">
        <v>0</v>
      </c>
      <c r="C2" s="1">
        <v>1.1000000000000001</v>
      </c>
    </row>
    <row r="3" spans="2:8" x14ac:dyDescent="0.35">
      <c r="B3" s="2" t="s">
        <v>1</v>
      </c>
      <c r="C3" s="1">
        <v>0.97</v>
      </c>
    </row>
    <row r="4" spans="2:8" x14ac:dyDescent="0.35">
      <c r="B4" s="2" t="s">
        <v>3</v>
      </c>
      <c r="C4" s="1">
        <v>50</v>
      </c>
    </row>
    <row r="5" spans="2:8" x14ac:dyDescent="0.35">
      <c r="B5" s="2" t="s">
        <v>2</v>
      </c>
      <c r="C5" s="1">
        <v>1.06</v>
      </c>
    </row>
    <row r="6" spans="2:8" x14ac:dyDescent="0.35">
      <c r="B6" s="2" t="s">
        <v>4</v>
      </c>
      <c r="C6" s="1">
        <v>50</v>
      </c>
    </row>
    <row r="7" spans="2:8" x14ac:dyDescent="0.35">
      <c r="B7" s="2" t="s">
        <v>15</v>
      </c>
      <c r="C7" s="11">
        <v>4</v>
      </c>
    </row>
    <row r="8" spans="2:8" x14ac:dyDescent="0.35">
      <c r="B8" s="2" t="s">
        <v>13</v>
      </c>
      <c r="C8" s="15">
        <f>(C5-C3)/(C2-C3)</f>
        <v>0.69230769230769229</v>
      </c>
    </row>
    <row r="9" spans="2:8" x14ac:dyDescent="0.35">
      <c r="B9" s="2" t="s">
        <v>14</v>
      </c>
      <c r="C9" s="15">
        <f>1-C8</f>
        <v>0.30769230769230771</v>
      </c>
    </row>
    <row r="10" spans="2:8" x14ac:dyDescent="0.35">
      <c r="C10" s="1"/>
    </row>
    <row r="11" spans="2:8" x14ac:dyDescent="0.35">
      <c r="B11" s="2" t="s">
        <v>0</v>
      </c>
      <c r="C11" t="s">
        <v>1</v>
      </c>
      <c r="D11" t="s">
        <v>16</v>
      </c>
      <c r="E11" t="s">
        <v>11</v>
      </c>
      <c r="F11" t="s">
        <v>18</v>
      </c>
      <c r="G11" t="s">
        <v>17</v>
      </c>
      <c r="H11" s="13"/>
    </row>
    <row r="12" spans="2:8" x14ac:dyDescent="0.35">
      <c r="B12" s="12">
        <v>4</v>
      </c>
      <c r="C12" s="11">
        <v>0</v>
      </c>
      <c r="D12" s="16">
        <f>$C$4*$C$2^B12*$C$3^C12</f>
        <v>73.205000000000027</v>
      </c>
      <c r="E12" s="17">
        <f>MAX(D12-$C$6,0)</f>
        <v>23.205000000000027</v>
      </c>
      <c r="F12" s="1">
        <f>$C$8^B12*$C$9^C12</f>
        <v>0.22971884737929341</v>
      </c>
      <c r="G12">
        <f>COMBIN(4,4)</f>
        <v>1</v>
      </c>
      <c r="H12" s="2">
        <f>(G12*F12*E12)/$C$5^4</f>
        <v>4.2223549595998238</v>
      </c>
    </row>
    <row r="13" spans="2:8" x14ac:dyDescent="0.35">
      <c r="B13" s="11">
        <v>3</v>
      </c>
      <c r="C13" s="11">
        <v>1</v>
      </c>
      <c r="D13" s="16">
        <f t="shared" ref="D13:D16" si="0">$C$4*$C$2^B13*$C$3^C13</f>
        <v>64.553500000000028</v>
      </c>
      <c r="E13" s="17">
        <f>MAX(D13-$C$6,0)</f>
        <v>14.553500000000028</v>
      </c>
      <c r="F13" s="1">
        <f t="shared" ref="F13:F16" si="1">$C$8^B13*$C$9^C13</f>
        <v>0.10209726550190819</v>
      </c>
      <c r="G13">
        <f>COMBIN(4,3)</f>
        <v>4</v>
      </c>
      <c r="H13" s="2">
        <f t="shared" ref="H13:H16" si="2">(G13*F13*E13)/$C$5^4</f>
        <v>4.7078009359696296</v>
      </c>
    </row>
    <row r="14" spans="2:8" x14ac:dyDescent="0.35">
      <c r="B14" s="11">
        <v>2</v>
      </c>
      <c r="C14" s="11">
        <v>2</v>
      </c>
      <c r="D14" s="16">
        <f t="shared" si="0"/>
        <v>56.924450000000007</v>
      </c>
      <c r="E14" s="17">
        <f>MAX(D14-$C$6,0)</f>
        <v>6.9244500000000073</v>
      </c>
      <c r="F14" s="1">
        <f t="shared" si="1"/>
        <v>4.5376562445292534E-2</v>
      </c>
      <c r="G14">
        <f>COMBIN(4,2)</f>
        <v>6</v>
      </c>
      <c r="H14" s="2">
        <f t="shared" si="2"/>
        <v>1.4932917484259174</v>
      </c>
    </row>
    <row r="15" spans="2:8" x14ac:dyDescent="0.35">
      <c r="B15" s="11">
        <v>1</v>
      </c>
      <c r="C15" s="11">
        <v>3</v>
      </c>
      <c r="D15" s="16">
        <f t="shared" si="0"/>
        <v>50.197015000000007</v>
      </c>
      <c r="E15" s="17">
        <f>MAX(D15-$C$6,0)</f>
        <v>0.19701500000000749</v>
      </c>
      <c r="F15" s="1">
        <f t="shared" si="1"/>
        <v>2.0167361086796683E-2</v>
      </c>
      <c r="G15">
        <f>COMBIN(4,1)</f>
        <v>4</v>
      </c>
      <c r="H15" s="2">
        <f t="shared" si="2"/>
        <v>1.2588816336150478E-2</v>
      </c>
    </row>
    <row r="16" spans="2:8" x14ac:dyDescent="0.35">
      <c r="B16" s="11">
        <v>0</v>
      </c>
      <c r="C16" s="11">
        <v>4</v>
      </c>
      <c r="D16" s="16">
        <f t="shared" si="0"/>
        <v>44.264640499999999</v>
      </c>
      <c r="E16" s="17">
        <f>MAX(D16-$C$6,0)</f>
        <v>0</v>
      </c>
      <c r="F16" s="1">
        <f t="shared" si="1"/>
        <v>8.9632715941318601E-3</v>
      </c>
      <c r="G16">
        <f>COMBIN(4,0)</f>
        <v>1</v>
      </c>
      <c r="H16" s="2">
        <f t="shared" si="2"/>
        <v>0</v>
      </c>
    </row>
    <row r="17" spans="4:8" x14ac:dyDescent="0.35">
      <c r="D17" s="18"/>
      <c r="E17" s="18"/>
      <c r="G17" t="s">
        <v>19</v>
      </c>
      <c r="H17" s="15">
        <f>SUM(H12:H16)</f>
        <v>10.43603646033152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2566C-83B5-4F6E-88BC-998E742F8BE9}">
  <sheetPr codeName="Sheet4"/>
  <dimension ref="B2:D40"/>
  <sheetViews>
    <sheetView zoomScale="70" zoomScaleNormal="70" workbookViewId="0">
      <selection activeCell="G7" sqref="G7"/>
    </sheetView>
  </sheetViews>
  <sheetFormatPr defaultRowHeight="14.5" x14ac:dyDescent="0.35"/>
  <cols>
    <col min="2" max="3" width="15.08984375" bestFit="1" customWidth="1"/>
    <col min="4" max="4" width="8.6328125" bestFit="1" customWidth="1"/>
  </cols>
  <sheetData>
    <row r="2" spans="2:3" x14ac:dyDescent="0.35">
      <c r="B2" t="s">
        <v>3</v>
      </c>
      <c r="C2">
        <v>60</v>
      </c>
    </row>
    <row r="3" spans="2:3" x14ac:dyDescent="0.35">
      <c r="B3" t="s">
        <v>20</v>
      </c>
      <c r="C3">
        <v>50</v>
      </c>
    </row>
    <row r="4" spans="2:3" x14ac:dyDescent="0.35">
      <c r="B4" t="s">
        <v>21</v>
      </c>
      <c r="C4">
        <v>0.5</v>
      </c>
    </row>
    <row r="5" spans="2:3" x14ac:dyDescent="0.35">
      <c r="B5" t="s">
        <v>22</v>
      </c>
      <c r="C5" s="5">
        <v>0.08</v>
      </c>
    </row>
    <row r="6" spans="2:3" x14ac:dyDescent="0.35">
      <c r="B6" t="s">
        <v>23</v>
      </c>
      <c r="C6" s="5">
        <v>0.3</v>
      </c>
    </row>
    <row r="7" spans="2:3" x14ac:dyDescent="0.35">
      <c r="B7" s="19" t="s">
        <v>24</v>
      </c>
      <c r="C7" s="19">
        <v>10</v>
      </c>
    </row>
    <row r="9" spans="2:3" x14ac:dyDescent="0.35">
      <c r="B9" t="s">
        <v>25</v>
      </c>
      <c r="C9" s="1">
        <f>C4/C7</f>
        <v>0.05</v>
      </c>
    </row>
    <row r="10" spans="2:3" x14ac:dyDescent="0.35">
      <c r="B10" t="s">
        <v>0</v>
      </c>
      <c r="C10" s="1">
        <f>EXP(C6*SQRT(C9))</f>
        <v>1.0693832060523671</v>
      </c>
    </row>
    <row r="11" spans="2:3" x14ac:dyDescent="0.35">
      <c r="B11" t="s">
        <v>1</v>
      </c>
      <c r="C11" s="1">
        <f>EXP(-C6*SQRT(C9))</f>
        <v>0.93511848170077816</v>
      </c>
    </row>
    <row r="12" spans="2:3" x14ac:dyDescent="0.35">
      <c r="B12" t="s">
        <v>2</v>
      </c>
      <c r="C12" s="1">
        <f>EXP(C5*C9)</f>
        <v>1.0040080106773419</v>
      </c>
    </row>
    <row r="14" spans="2:3" x14ac:dyDescent="0.35">
      <c r="B14" t="s">
        <v>26</v>
      </c>
      <c r="C14" s="14">
        <f>Binomial_eur_call(C10,C11,C12,C2,C3,C7)</f>
        <v>12.859284846088762</v>
      </c>
    </row>
    <row r="15" spans="2:3" x14ac:dyDescent="0.35">
      <c r="B15" t="s">
        <v>27</v>
      </c>
      <c r="C15" s="14">
        <f>BSCall(C2,C3,C4,C5,C6)</f>
        <v>12.822602600052306</v>
      </c>
    </row>
    <row r="17" spans="2:4" x14ac:dyDescent="0.35">
      <c r="B17" t="s">
        <v>28</v>
      </c>
      <c r="C17" t="s">
        <v>26</v>
      </c>
      <c r="D17" t="s">
        <v>27</v>
      </c>
    </row>
    <row r="18" spans="2:4" x14ac:dyDescent="0.35">
      <c r="C18" s="20">
        <f>C14</f>
        <v>12.859284846088762</v>
      </c>
    </row>
    <row r="19" spans="2:4" x14ac:dyDescent="0.35">
      <c r="B19">
        <v>10</v>
      </c>
      <c r="C19" s="10">
        <f t="dataTable" ref="C19:C40" dt2D="0" dtr="0" r1="C7"/>
        <v>12.859284846088762</v>
      </c>
      <c r="D19" s="10">
        <f>$C$15</f>
        <v>12.822602600052306</v>
      </c>
    </row>
    <row r="20" spans="2:4" x14ac:dyDescent="0.35">
      <c r="B20">
        <v>40</v>
      </c>
      <c r="C20" s="10">
        <v>12.831130958755034</v>
      </c>
      <c r="D20" s="10">
        <f t="shared" ref="D20:D40" si="0">$C$15</f>
        <v>12.822602600052306</v>
      </c>
    </row>
    <row r="21" spans="2:4" x14ac:dyDescent="0.35">
      <c r="B21">
        <v>70</v>
      </c>
      <c r="C21" s="10">
        <v>12.829888030449013</v>
      </c>
      <c r="D21" s="10">
        <f t="shared" si="0"/>
        <v>12.822602600052306</v>
      </c>
    </row>
    <row r="22" spans="2:4" x14ac:dyDescent="0.35">
      <c r="B22">
        <v>100</v>
      </c>
      <c r="C22" s="10">
        <v>12.825523150435874</v>
      </c>
      <c r="D22" s="10">
        <f t="shared" si="0"/>
        <v>12.822602600052306</v>
      </c>
    </row>
    <row r="23" spans="2:4" x14ac:dyDescent="0.35">
      <c r="B23">
        <v>130</v>
      </c>
      <c r="C23" s="10">
        <v>12.820495241178708</v>
      </c>
      <c r="D23" s="10">
        <f t="shared" si="0"/>
        <v>12.822602600052306</v>
      </c>
    </row>
    <row r="24" spans="2:4" x14ac:dyDescent="0.35">
      <c r="B24">
        <v>160</v>
      </c>
      <c r="C24" s="10">
        <v>12.82576688077811</v>
      </c>
      <c r="D24" s="10">
        <f t="shared" si="0"/>
        <v>12.822602600052306</v>
      </c>
    </row>
    <row r="25" spans="2:4" x14ac:dyDescent="0.35">
      <c r="B25">
        <v>190</v>
      </c>
      <c r="C25" s="10">
        <v>12.82058495281078</v>
      </c>
      <c r="D25" s="10">
        <f t="shared" si="0"/>
        <v>12.822602600052306</v>
      </c>
    </row>
    <row r="26" spans="2:4" x14ac:dyDescent="0.35">
      <c r="B26">
        <v>220</v>
      </c>
      <c r="C26" s="10">
        <v>12.824600149112808</v>
      </c>
      <c r="D26" s="10">
        <f t="shared" si="0"/>
        <v>12.822602600052306</v>
      </c>
    </row>
    <row r="27" spans="2:4" x14ac:dyDescent="0.35">
      <c r="B27">
        <v>250</v>
      </c>
      <c r="C27" s="10">
        <v>12.823025111798497</v>
      </c>
      <c r="D27" s="10">
        <f t="shared" si="0"/>
        <v>12.822602600052306</v>
      </c>
    </row>
    <row r="28" spans="2:4" x14ac:dyDescent="0.35">
      <c r="B28">
        <v>280</v>
      </c>
      <c r="C28" s="10">
        <v>12.822664119846907</v>
      </c>
      <c r="D28" s="10">
        <f t="shared" si="0"/>
        <v>12.822602600052306</v>
      </c>
    </row>
    <row r="29" spans="2:4" x14ac:dyDescent="0.35">
      <c r="B29">
        <v>310</v>
      </c>
      <c r="C29" s="10">
        <v>12.824281600266888</v>
      </c>
      <c r="D29" s="10">
        <f t="shared" si="0"/>
        <v>12.822602600052306</v>
      </c>
    </row>
    <row r="30" spans="2:4" x14ac:dyDescent="0.35">
      <c r="B30">
        <v>340</v>
      </c>
      <c r="C30" s="10">
        <v>12.821457264485224</v>
      </c>
      <c r="D30" s="10">
        <f t="shared" si="0"/>
        <v>12.822602600052306</v>
      </c>
    </row>
    <row r="31" spans="2:4" x14ac:dyDescent="0.35">
      <c r="B31">
        <v>370</v>
      </c>
      <c r="C31" s="10">
        <v>12.823234906193749</v>
      </c>
      <c r="D31" s="10">
        <f t="shared" si="0"/>
        <v>12.822602600052306</v>
      </c>
    </row>
    <row r="32" spans="2:4" x14ac:dyDescent="0.35">
      <c r="B32">
        <v>400</v>
      </c>
      <c r="C32" s="10">
        <v>12.823847919583542</v>
      </c>
      <c r="D32" s="10">
        <f t="shared" si="0"/>
        <v>12.822602600052306</v>
      </c>
    </row>
    <row r="33" spans="2:4" x14ac:dyDescent="0.35">
      <c r="B33">
        <v>430</v>
      </c>
      <c r="C33" s="10">
        <v>12.82182591400208</v>
      </c>
      <c r="D33" s="10">
        <f t="shared" si="0"/>
        <v>12.822602600052306</v>
      </c>
    </row>
    <row r="34" spans="2:4" x14ac:dyDescent="0.35">
      <c r="B34">
        <v>460</v>
      </c>
      <c r="C34" s="10">
        <v>12.822823908830134</v>
      </c>
      <c r="D34" s="10">
        <f t="shared" si="0"/>
        <v>12.822602600052306</v>
      </c>
    </row>
    <row r="35" spans="2:4" x14ac:dyDescent="0.35">
      <c r="B35">
        <v>490</v>
      </c>
      <c r="C35" s="10">
        <v>12.823698100990581</v>
      </c>
      <c r="D35" s="10">
        <f t="shared" si="0"/>
        <v>12.822602600052306</v>
      </c>
    </row>
    <row r="36" spans="2:4" x14ac:dyDescent="0.35">
      <c r="B36">
        <v>520</v>
      </c>
      <c r="C36" s="10">
        <v>12.822763971451069</v>
      </c>
      <c r="D36" s="10">
        <f t="shared" si="0"/>
        <v>12.822602600052306</v>
      </c>
    </row>
    <row r="37" spans="2:4" x14ac:dyDescent="0.35">
      <c r="B37">
        <v>550</v>
      </c>
      <c r="C37" s="10">
        <v>12.821873118446723</v>
      </c>
      <c r="D37" s="10">
        <f t="shared" si="0"/>
        <v>12.822602600052306</v>
      </c>
    </row>
    <row r="38" spans="2:4" x14ac:dyDescent="0.35">
      <c r="B38">
        <v>580</v>
      </c>
      <c r="C38" s="10">
        <v>12.823305848494194</v>
      </c>
      <c r="D38" s="10">
        <f t="shared" si="0"/>
        <v>12.822602600052306</v>
      </c>
    </row>
    <row r="39" spans="2:4" x14ac:dyDescent="0.35">
      <c r="B39">
        <v>610</v>
      </c>
      <c r="C39" s="10">
        <v>12.823384671180721</v>
      </c>
      <c r="D39" s="10">
        <f t="shared" si="0"/>
        <v>12.822602600052306</v>
      </c>
    </row>
    <row r="40" spans="2:4" x14ac:dyDescent="0.35">
      <c r="B40">
        <v>640</v>
      </c>
      <c r="C40" s="10">
        <v>12.822334139921104</v>
      </c>
      <c r="D40" s="10">
        <f t="shared" si="0"/>
        <v>12.822602600052306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Two-Date Binomial Pricing</vt:lpstr>
      <vt:lpstr>Risk-Neutral Prices</vt:lpstr>
      <vt:lpstr>The Multi-Period Binomial Model</vt:lpstr>
      <vt:lpstr>Binominal Model VS BS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2019-05-25T20:14:48Z</dcterms:modified>
</cp:coreProperties>
</file>